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 nguyen\Downloads\HK2-NAM4\Đảm bảo chất lượng và kiểm thử - Huynh\"/>
    </mc:Choice>
  </mc:AlternateContent>
  <xr:revisionPtr revIDLastSave="0" documentId="13_ncr:1_{EF5451DA-7EE7-422B-BA97-7D31E60FC1A5}" xr6:coauthVersionLast="47" xr6:coauthVersionMax="47" xr10:uidLastSave="{00000000-0000-0000-0000-000000000000}"/>
  <bookViews>
    <workbookView xWindow="-108" yWindow="-108" windowWidth="23256" windowHeight="12456" activeTab="7" xr2:uid="{5CA336F1-D579-470E-893F-437FFFD8D474}"/>
  </bookViews>
  <sheets>
    <sheet name="BT 1" sheetId="2" r:id="rId1"/>
    <sheet name="BT 2" sheetId="1" r:id="rId2"/>
    <sheet name="BT 3" sheetId="3" r:id="rId3"/>
    <sheet name="BT 4" sheetId="4" r:id="rId4"/>
    <sheet name="BT 5" sheetId="5" r:id="rId5"/>
    <sheet name="BT 6" sheetId="6" r:id="rId6"/>
    <sheet name="BT 7" sheetId="7" r:id="rId7"/>
    <sheet name="BT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4" l="1"/>
  <c r="B23" i="4"/>
  <c r="B25" i="1"/>
  <c r="B23" i="1"/>
  <c r="B25" i="2"/>
  <c r="B23" i="2"/>
</calcChain>
</file>

<file path=xl/sharedStrings.xml><?xml version="1.0" encoding="utf-8"?>
<sst xmlns="http://schemas.openxmlformats.org/spreadsheetml/2006/main" count="415" uniqueCount="169">
  <si>
    <t>Test Case ID</t>
  </si>
  <si>
    <t>BU_001</t>
  </si>
  <si>
    <t>Created By</t>
  </si>
  <si>
    <t>Trúc</t>
  </si>
  <si>
    <t>Test Case Description</t>
  </si>
  <si>
    <t>Reviewed By</t>
  </si>
  <si>
    <t>Version</t>
  </si>
  <si>
    <t>QA Tester’s Log</t>
  </si>
  <si>
    <t>Tester’s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</si>
  <si>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</si>
  <si>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</si>
  <si>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</si>
  <si>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</si>
  <si>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</si>
  <si>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</si>
  <si>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</si>
  <si>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Mô tả</t>
  </si>
  <si>
    <t>Bộ dữ liệu</t>
  </si>
  <si>
    <t>KQ</t>
  </si>
  <si>
    <t>TC01</t>
  </si>
  <si>
    <t>TC02</t>
  </si>
  <si>
    <t>Access to system</t>
  </si>
  <si>
    <t>BU_002</t>
  </si>
  <si>
    <t>abc</t>
  </si>
  <si>
    <t>Lỗi</t>
  </si>
  <si>
    <t>Hợp lệ</t>
  </si>
  <si>
    <t>TC03</t>
  </si>
  <si>
    <t>TC04</t>
  </si>
  <si>
    <t>TC05</t>
  </si>
  <si>
    <t>TC06</t>
  </si>
  <si>
    <t xml:space="preserve">abc </t>
  </si>
  <si>
    <t xml:space="preserve">Lỗi </t>
  </si>
  <si>
    <t>BU_004</t>
  </si>
  <si>
    <t>BU_003</t>
  </si>
  <si>
    <t>Miễn phí</t>
  </si>
  <si>
    <t>BU_005</t>
  </si>
  <si>
    <t>&lt;20</t>
  </si>
  <si>
    <t>20–25</t>
  </si>
  <si>
    <t>26–30</t>
  </si>
  <si>
    <t>&gt;30</t>
  </si>
  <si>
    <t>BU_006</t>
  </si>
  <si>
    <t>BU_007</t>
  </si>
  <si>
    <t>Điểm &lt;0</t>
  </si>
  <si>
    <t>-1</t>
  </si>
  <si>
    <t>12345</t>
  </si>
  <si>
    <t>0</t>
  </si>
  <si>
    <t>Trong khoảng</t>
  </si>
  <si>
    <t>50</t>
  </si>
  <si>
    <t>100</t>
  </si>
  <si>
    <t>&gt;100</t>
  </si>
  <si>
    <t>101</t>
  </si>
  <si>
    <t>Kiểm thử trường nhập điểm thi</t>
  </si>
  <si>
    <t>Phạm vi đầu vào</t>
  </si>
  <si>
    <t>0 – 100</t>
  </si>
  <si>
    <t>Giá trị biên</t>
  </si>
  <si>
    <t>Biên dưới: 0</t>
  </si>
  <si>
    <t>Biên trên: 100</t>
  </si>
  <si>
    <t>Giá trị biên cần kiểm thử</t>
  </si>
  <si>
    <t>- -1, 0, 1</t>
  </si>
  <si>
    <t>- 99, 100, 101</t>
  </si>
  <si>
    <t>&lt;1</t>
  </si>
  <si>
    <t>1</t>
  </si>
  <si>
    <t>trong khoảng</t>
  </si>
  <si>
    <t>500</t>
  </si>
  <si>
    <t>1000</t>
  </si>
  <si>
    <t>&gt;1000</t>
  </si>
  <si>
    <t>1001</t>
  </si>
  <si>
    <t>Số lượng sản phẩm (1–1000)</t>
  </si>
  <si>
    <t>âm 1 đến 1000</t>
  </si>
  <si>
    <t>Biên dưới: 1</t>
  </si>
  <si>
    <t>Biên trên: 1000</t>
  </si>
  <si>
    <t>- 0,1,2</t>
  </si>
  <si>
    <t>- 999,1000,1001</t>
  </si>
  <si>
    <t>Username rỗng</t>
  </si>
  <si>
    <t>Password rỗng</t>
  </si>
  <si>
    <t>a</t>
  </si>
  <si>
    <t>&lt;255 chars&gt;</t>
  </si>
  <si>
    <t>&gt;255 ký tự</t>
  </si>
  <si>
    <t>&lt;256 chars&gt;</t>
  </si>
  <si>
    <t>Đăng nhập (1–255 ký tự)</t>
  </si>
  <si>
    <t xml:space="preserve">âm 1 đến 255 ký tự </t>
  </si>
  <si>
    <t>Biên trên: 255</t>
  </si>
  <si>
    <t>- 254,255,256</t>
  </si>
  <si>
    <t>Giữa khoảng</t>
  </si>
  <si>
    <t>6</t>
  </si>
  <si>
    <t>12</t>
  </si>
  <si>
    <t>&gt;12</t>
  </si>
  <si>
    <t>13</t>
  </si>
  <si>
    <t>1 đến 12</t>
  </si>
  <si>
    <t>Tháng trong năm (1–12)</t>
  </si>
  <si>
    <t>Biên trên: 12</t>
  </si>
  <si>
    <t>- 11,12,13</t>
  </si>
  <si>
    <t>Login + khóa sau 5 lần sai</t>
  </si>
  <si>
    <t>Username: 6–20 ký tự</t>
  </si>
  <si>
    <t>Password: 6–25 ký tự</t>
  </si>
  <si>
    <t>Số lần đăng nhập sai: 0–5</t>
  </si>
  <si>
    <t xml:space="preserve">Username: 6 và 20 </t>
  </si>
  <si>
    <t xml:space="preserve">Password: 6 và 25 </t>
  </si>
  <si>
    <t>Số lần sai: 5</t>
  </si>
  <si>
    <t xml:space="preserve">User năm: 5,6,7 </t>
  </si>
  <si>
    <t>Password: 5,6,7</t>
  </si>
  <si>
    <t xml:space="preserve">Sai : 4,5,6 </t>
  </si>
  <si>
    <t>Username &lt;6</t>
  </si>
  <si>
    <t>Password &lt;6</t>
  </si>
  <si>
    <t>123</t>
  </si>
  <si>
    <t>Sai 4 lần</t>
  </si>
  <si>
    <t>login sai 4 lần</t>
  </si>
  <si>
    <t>Thông báo sai</t>
  </si>
  <si>
    <t>Sai đủ 5 lần</t>
  </si>
  <si>
    <t>login sai 5 lần</t>
  </si>
  <si>
    <t>Khóa tài khoản</t>
  </si>
  <si>
    <t>Đăng nhập đúng</t>
  </si>
  <si>
    <t>đúng</t>
  </si>
  <si>
    <t>Vào hệ thống</t>
  </si>
  <si>
    <t>Giá vé theo tuổi</t>
  </si>
  <si>
    <t>0-5</t>
  </si>
  <si>
    <t>6 tới 19</t>
  </si>
  <si>
    <t>20-60</t>
  </si>
  <si>
    <t>61-120</t>
  </si>
  <si>
    <t>5,6,19,20,60,61,120</t>
  </si>
  <si>
    <t>5,6</t>
  </si>
  <si>
    <t>19,20</t>
  </si>
  <si>
    <t>60,61</t>
  </si>
  <si>
    <t>0–5</t>
  </si>
  <si>
    <t>3</t>
  </si>
  <si>
    <t>6–19</t>
  </si>
  <si>
    <t>10</t>
  </si>
  <si>
    <t>80.000</t>
  </si>
  <si>
    <t>20–60</t>
  </si>
  <si>
    <t>30</t>
  </si>
  <si>
    <t>100.000</t>
  </si>
  <si>
    <t>61–120</t>
  </si>
  <si>
    <t>80</t>
  </si>
  <si>
    <t>&gt;120</t>
  </si>
  <si>
    <t>130</t>
  </si>
  <si>
    <t>20-30</t>
  </si>
  <si>
    <t>20 và 30</t>
  </si>
  <si>
    <t>- 19,20,21</t>
  </si>
  <si>
    <t>- 29,30,31</t>
  </si>
  <si>
    <t>15</t>
  </si>
  <si>
    <t>22</t>
  </si>
  <si>
    <t>Coupon 50%</t>
  </si>
  <si>
    <t>28</t>
  </si>
  <si>
    <t>Coupon 70%</t>
  </si>
  <si>
    <t>35</t>
  </si>
  <si>
    <t>Lazada ngày 20–30</t>
  </si>
  <si>
    <t>Form Login chi tiết</t>
  </si>
  <si>
    <t>Username: 3–30</t>
  </si>
  <si>
    <t>Password: 6-10</t>
  </si>
  <si>
    <t>Biên username: 3 và 30</t>
  </si>
  <si>
    <t>Biên password: 6 và 10</t>
  </si>
  <si>
    <t>Username: 2,3,4</t>
  </si>
  <si>
    <t>Password: 5,6,7,10,11</t>
  </si>
  <si>
    <t>Username không được để trống</t>
  </si>
  <si>
    <t>Username &lt;3</t>
  </si>
  <si>
    <t>ab</t>
  </si>
  <si>
    <t>Sai độ dài</t>
  </si>
  <si>
    <t>Username &gt;30</t>
  </si>
  <si>
    <t>&lt;31 chars&gt;</t>
  </si>
  <si>
    <t>Password không được để trống</t>
  </si>
  <si>
    <t>Password &gt;10</t>
  </si>
  <si>
    <t>12345678901</t>
  </si>
  <si>
    <t>TC07</t>
  </si>
  <si>
    <t>Sai username/password</t>
  </si>
  <si>
    <t>abc / 123456</t>
  </si>
  <si>
    <t>TC08</t>
  </si>
  <si>
    <t>Đúng</t>
  </si>
  <si>
    <t>user/pass</t>
  </si>
  <si>
    <t>Đăng nhập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</si>
</sst>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applyBorder="1" applyAlignment="1"/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5069-CF73-48DA-9F8E-44BBE18074C5}">
  <dimension ref="A1:J26"/>
  <sheetViews>
    <sheetView workbookViewId="0">
      <selection activeCell="A14" sqref="A14:B18"/>
    </sheetView>
  </sheetViews>
  <sheetFormatPr defaultRowHeight="13.8" x14ac:dyDescent="0.25"/>
  <cols>
    <col min="1" max="1" width="20.59765625" bestFit="1" customWidth="1"/>
    <col min="2" max="2" width="37.09765625" bestFit="1" customWidth="1"/>
    <col min="3" max="3" width="18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1</v>
      </c>
      <c r="C1" s="1" t="s">
        <v>4</v>
      </c>
      <c r="D1" s="5" t="s">
        <v>51</v>
      </c>
      <c r="E1" s="5"/>
      <c r="F1" s="5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5"/>
      <c r="C4" s="5"/>
      <c r="D4" s="5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6" t="s">
        <v>13</v>
      </c>
      <c r="C8" s="6"/>
      <c r="D8" s="6"/>
      <c r="F8" s="1" t="s">
        <v>12</v>
      </c>
      <c r="G8" s="6" t="s">
        <v>14</v>
      </c>
      <c r="H8" s="6"/>
      <c r="I8" s="6"/>
      <c r="J8" s="6"/>
    </row>
    <row r="9" spans="1:10" x14ac:dyDescent="0.25">
      <c r="A9" s="2">
        <v>1</v>
      </c>
      <c r="B9" s="5" t="s">
        <v>21</v>
      </c>
      <c r="C9" s="5"/>
      <c r="D9" s="5"/>
      <c r="F9" s="2">
        <v>1</v>
      </c>
      <c r="G9" s="5"/>
      <c r="H9" s="5"/>
      <c r="I9" s="5"/>
      <c r="J9" s="5"/>
    </row>
    <row r="10" spans="1:10" x14ac:dyDescent="0.25">
      <c r="A10" s="2">
        <v>2</v>
      </c>
      <c r="B10" s="5"/>
      <c r="C10" s="5"/>
      <c r="D10" s="5"/>
      <c r="F10" s="2">
        <v>2</v>
      </c>
      <c r="G10" s="5"/>
      <c r="H10" s="5"/>
      <c r="I10" s="5"/>
      <c r="J10" s="5"/>
    </row>
    <row r="11" spans="1:10" x14ac:dyDescent="0.25">
      <c r="A11" s="2">
        <v>3</v>
      </c>
      <c r="B11" s="5"/>
      <c r="C11" s="5"/>
      <c r="D11" s="5"/>
      <c r="F11" s="2">
        <v>3</v>
      </c>
      <c r="G11" s="5"/>
      <c r="H11" s="5"/>
      <c r="I11" s="5"/>
      <c r="J11" s="5"/>
    </row>
    <row r="12" spans="1:10" x14ac:dyDescent="0.25">
      <c r="A12" s="2">
        <v>4</v>
      </c>
      <c r="B12" s="5"/>
      <c r="C12" s="5"/>
      <c r="D12" s="5"/>
      <c r="F12" s="2">
        <v>4</v>
      </c>
      <c r="G12" s="5"/>
      <c r="H12" s="5"/>
      <c r="I12" s="5"/>
      <c r="J12" s="5"/>
    </row>
    <row r="14" spans="1:10" x14ac:dyDescent="0.25">
      <c r="A14" s="2" t="s">
        <v>52</v>
      </c>
      <c r="B14" s="2" t="s">
        <v>53</v>
      </c>
      <c r="C14" s="8"/>
    </row>
    <row r="15" spans="1:10" x14ac:dyDescent="0.25">
      <c r="A15" s="5" t="s">
        <v>54</v>
      </c>
      <c r="B15" s="2" t="s">
        <v>55</v>
      </c>
      <c r="C15" s="8"/>
    </row>
    <row r="16" spans="1:10" x14ac:dyDescent="0.25">
      <c r="A16" s="5"/>
      <c r="B16" s="2" t="s">
        <v>56</v>
      </c>
      <c r="C16" s="8"/>
    </row>
    <row r="17" spans="1:4" x14ac:dyDescent="0.25">
      <c r="A17" s="5" t="s">
        <v>57</v>
      </c>
      <c r="B17" s="2" t="s">
        <v>58</v>
      </c>
      <c r="C17" s="8"/>
    </row>
    <row r="18" spans="1:4" x14ac:dyDescent="0.25">
      <c r="A18" s="5"/>
      <c r="B18" s="2" t="s">
        <v>59</v>
      </c>
      <c r="C18" s="8"/>
    </row>
    <row r="19" spans="1:4" x14ac:dyDescent="0.25">
      <c r="A19" s="8"/>
      <c r="B19" s="8"/>
      <c r="C19" s="8"/>
    </row>
    <row r="21" spans="1:4" x14ac:dyDescent="0.25">
      <c r="A21" t="s">
        <v>15</v>
      </c>
      <c r="B21" t="s">
        <v>16</v>
      </c>
      <c r="C21" t="s">
        <v>17</v>
      </c>
      <c r="D21" t="s">
        <v>18</v>
      </c>
    </row>
    <row r="22" spans="1:4" x14ac:dyDescent="0.25">
      <c r="A22" s="7" t="s">
        <v>19</v>
      </c>
      <c r="B22" s="7" t="s">
        <v>42</v>
      </c>
      <c r="C22" s="7" t="s">
        <v>43</v>
      </c>
      <c r="D22" s="7" t="s">
        <v>24</v>
      </c>
    </row>
    <row r="23" spans="1:4" x14ac:dyDescent="0.25">
      <c r="A23" s="7" t="s">
        <v>20</v>
      </c>
      <c r="B23" s="7">
        <f>0</f>
        <v>0</v>
      </c>
      <c r="C23" s="7" t="s">
        <v>45</v>
      </c>
      <c r="D23" s="7" t="s">
        <v>25</v>
      </c>
    </row>
    <row r="24" spans="1:4" x14ac:dyDescent="0.25">
      <c r="A24" s="7" t="s">
        <v>26</v>
      </c>
      <c r="B24" s="7" t="s">
        <v>46</v>
      </c>
      <c r="C24" s="7" t="s">
        <v>47</v>
      </c>
      <c r="D24" s="7" t="s">
        <v>25</v>
      </c>
    </row>
    <row r="25" spans="1:4" x14ac:dyDescent="0.25">
      <c r="A25" s="7" t="s">
        <v>27</v>
      </c>
      <c r="B25" s="7">
        <f>100</f>
        <v>100</v>
      </c>
      <c r="C25" s="7" t="s">
        <v>48</v>
      </c>
      <c r="D25" s="7" t="s">
        <v>25</v>
      </c>
    </row>
    <row r="26" spans="1:4" x14ac:dyDescent="0.25">
      <c r="A26" s="7" t="s">
        <v>28</v>
      </c>
      <c r="B26" s="7" t="s">
        <v>49</v>
      </c>
      <c r="C26" s="7" t="s">
        <v>50</v>
      </c>
      <c r="D26" s="7" t="s">
        <v>24</v>
      </c>
    </row>
  </sheetData>
  <mergeCells count="14">
    <mergeCell ref="A15:A16"/>
    <mergeCell ref="A17:A18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52A1-7DF9-49F4-B42B-DC2872978945}">
  <dimension ref="A1:J26"/>
  <sheetViews>
    <sheetView workbookViewId="0">
      <selection activeCell="B29" sqref="B29"/>
    </sheetView>
  </sheetViews>
  <sheetFormatPr defaultRowHeight="13.8" x14ac:dyDescent="0.25"/>
  <cols>
    <col min="1" max="1" width="20.59765625" bestFit="1" customWidth="1"/>
    <col min="2" max="2" width="37.09765625" bestFit="1" customWidth="1"/>
    <col min="3" max="3" width="18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22</v>
      </c>
      <c r="C1" s="1" t="s">
        <v>4</v>
      </c>
      <c r="D1" s="5" t="s">
        <v>67</v>
      </c>
      <c r="E1" s="5"/>
      <c r="F1" s="5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5"/>
      <c r="C4" s="5"/>
      <c r="D4" s="5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6" t="s">
        <v>13</v>
      </c>
      <c r="C8" s="6"/>
      <c r="D8" s="6"/>
      <c r="F8" s="1" t="s">
        <v>12</v>
      </c>
      <c r="G8" s="6" t="s">
        <v>14</v>
      </c>
      <c r="H8" s="6"/>
      <c r="I8" s="6"/>
      <c r="J8" s="6"/>
    </row>
    <row r="9" spans="1:10" x14ac:dyDescent="0.25">
      <c r="A9" s="2">
        <v>1</v>
      </c>
      <c r="B9" s="5" t="s">
        <v>21</v>
      </c>
      <c r="C9" s="5"/>
      <c r="D9" s="5"/>
      <c r="F9" s="2">
        <v>1</v>
      </c>
      <c r="G9" s="5"/>
      <c r="H9" s="5"/>
      <c r="I9" s="5"/>
      <c r="J9" s="5"/>
    </row>
    <row r="10" spans="1:10" x14ac:dyDescent="0.25">
      <c r="A10" s="2">
        <v>2</v>
      </c>
      <c r="B10" s="5"/>
      <c r="C10" s="5"/>
      <c r="D10" s="5"/>
      <c r="F10" s="2">
        <v>2</v>
      </c>
      <c r="G10" s="5"/>
      <c r="H10" s="5"/>
      <c r="I10" s="5"/>
      <c r="J10" s="5"/>
    </row>
    <row r="11" spans="1:10" x14ac:dyDescent="0.25">
      <c r="A11" s="2">
        <v>3</v>
      </c>
      <c r="B11" s="5"/>
      <c r="C11" s="5"/>
      <c r="D11" s="5"/>
      <c r="F11" s="2">
        <v>3</v>
      </c>
      <c r="G11" s="5"/>
      <c r="H11" s="5"/>
      <c r="I11" s="5"/>
      <c r="J11" s="5"/>
    </row>
    <row r="12" spans="1:10" x14ac:dyDescent="0.25">
      <c r="A12" s="2">
        <v>4</v>
      </c>
      <c r="B12" s="5"/>
      <c r="C12" s="5"/>
      <c r="D12" s="5"/>
      <c r="F12" s="2">
        <v>4</v>
      </c>
      <c r="G12" s="5"/>
      <c r="H12" s="5"/>
      <c r="I12" s="5"/>
      <c r="J12" s="5"/>
    </row>
    <row r="14" spans="1:10" x14ac:dyDescent="0.25">
      <c r="A14" s="2" t="s">
        <v>52</v>
      </c>
      <c r="B14" s="10" t="s">
        <v>68</v>
      </c>
      <c r="C14" s="8"/>
    </row>
    <row r="15" spans="1:10" x14ac:dyDescent="0.25">
      <c r="A15" s="5" t="s">
        <v>54</v>
      </c>
      <c r="B15" s="2" t="s">
        <v>69</v>
      </c>
      <c r="C15" s="8"/>
    </row>
    <row r="16" spans="1:10" x14ac:dyDescent="0.25">
      <c r="A16" s="5"/>
      <c r="B16" s="2" t="s">
        <v>70</v>
      </c>
      <c r="C16" s="8"/>
    </row>
    <row r="17" spans="1:4" x14ac:dyDescent="0.25">
      <c r="A17" s="5" t="s">
        <v>57</v>
      </c>
      <c r="B17" s="2" t="s">
        <v>71</v>
      </c>
      <c r="C17" s="8"/>
    </row>
    <row r="18" spans="1:4" x14ac:dyDescent="0.25">
      <c r="A18" s="5"/>
      <c r="B18" s="2" t="s">
        <v>72</v>
      </c>
      <c r="C18" s="8"/>
    </row>
    <row r="19" spans="1:4" x14ac:dyDescent="0.25">
      <c r="C19" s="8"/>
    </row>
    <row r="21" spans="1:4" x14ac:dyDescent="0.25">
      <c r="A21" t="s">
        <v>15</v>
      </c>
      <c r="B21" t="s">
        <v>16</v>
      </c>
      <c r="C21" t="s">
        <v>17</v>
      </c>
      <c r="D21" t="s">
        <v>18</v>
      </c>
    </row>
    <row r="22" spans="1:4" x14ac:dyDescent="0.25">
      <c r="A22" s="7" t="s">
        <v>19</v>
      </c>
      <c r="B22" s="7" t="s">
        <v>60</v>
      </c>
      <c r="C22" s="7" t="s">
        <v>45</v>
      </c>
      <c r="D22" s="7" t="s">
        <v>24</v>
      </c>
    </row>
    <row r="23" spans="1:4" x14ac:dyDescent="0.25">
      <c r="A23" s="7" t="s">
        <v>20</v>
      </c>
      <c r="B23" s="7">
        <f>1</f>
        <v>1</v>
      </c>
      <c r="C23" s="7" t="s">
        <v>61</v>
      </c>
      <c r="D23" s="7" t="s">
        <v>25</v>
      </c>
    </row>
    <row r="24" spans="1:4" x14ac:dyDescent="0.25">
      <c r="A24" s="7" t="s">
        <v>26</v>
      </c>
      <c r="B24" s="7" t="s">
        <v>62</v>
      </c>
      <c r="C24" s="7" t="s">
        <v>63</v>
      </c>
      <c r="D24" s="7" t="s">
        <v>25</v>
      </c>
    </row>
    <row r="25" spans="1:4" x14ac:dyDescent="0.25">
      <c r="A25" s="7" t="s">
        <v>27</v>
      </c>
      <c r="B25" s="7">
        <f>1000</f>
        <v>1000</v>
      </c>
      <c r="C25" s="7" t="s">
        <v>64</v>
      </c>
      <c r="D25" s="7" t="s">
        <v>25</v>
      </c>
    </row>
    <row r="26" spans="1:4" x14ac:dyDescent="0.25">
      <c r="A26" s="7" t="s">
        <v>28</v>
      </c>
      <c r="B26" s="7" t="s">
        <v>65</v>
      </c>
      <c r="C26" s="7" t="s">
        <v>66</v>
      </c>
      <c r="D26" s="7" t="s">
        <v>24</v>
      </c>
    </row>
  </sheetData>
  <mergeCells count="14">
    <mergeCell ref="A15:A16"/>
    <mergeCell ref="A17:A18"/>
    <mergeCell ref="B11:D11"/>
    <mergeCell ref="B12:D12"/>
    <mergeCell ref="G9:J9"/>
    <mergeCell ref="G10:J10"/>
    <mergeCell ref="G11:J11"/>
    <mergeCell ref="G12:J12"/>
    <mergeCell ref="B10:D10"/>
    <mergeCell ref="D1:F1"/>
    <mergeCell ref="B4:D4"/>
    <mergeCell ref="B8:D8"/>
    <mergeCell ref="G8:J8"/>
    <mergeCell ref="B9:D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DE31-2C3D-4382-91A5-F64A9844ABBF}">
  <dimension ref="A1:J28"/>
  <sheetViews>
    <sheetView workbookViewId="0">
      <selection activeCell="A14" sqref="A14:B18"/>
    </sheetView>
  </sheetViews>
  <sheetFormatPr defaultRowHeight="13.8" x14ac:dyDescent="0.25"/>
  <cols>
    <col min="1" max="1" width="20.59765625" bestFit="1" customWidth="1"/>
    <col min="2" max="2" width="37.09765625" bestFit="1" customWidth="1"/>
    <col min="3" max="3" width="26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33</v>
      </c>
      <c r="C1" s="1" t="s">
        <v>4</v>
      </c>
      <c r="D1" s="5" t="s">
        <v>79</v>
      </c>
      <c r="E1" s="5"/>
      <c r="F1" s="5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5"/>
      <c r="C4" s="5"/>
      <c r="D4" s="5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6" t="s">
        <v>13</v>
      </c>
      <c r="C8" s="6"/>
      <c r="D8" s="6"/>
      <c r="F8" s="1" t="s">
        <v>12</v>
      </c>
      <c r="G8" s="6" t="s">
        <v>14</v>
      </c>
      <c r="H8" s="6"/>
      <c r="I8" s="6"/>
      <c r="J8" s="6"/>
    </row>
    <row r="9" spans="1:10" x14ac:dyDescent="0.25">
      <c r="A9" s="2">
        <v>1</v>
      </c>
      <c r="B9" s="5" t="s">
        <v>21</v>
      </c>
      <c r="C9" s="5"/>
      <c r="D9" s="5"/>
      <c r="F9" s="2">
        <v>1</v>
      </c>
      <c r="G9" s="5"/>
      <c r="H9" s="5"/>
      <c r="I9" s="5"/>
      <c r="J9" s="5"/>
    </row>
    <row r="10" spans="1:10" x14ac:dyDescent="0.25">
      <c r="A10" s="2">
        <v>2</v>
      </c>
      <c r="B10" s="5"/>
      <c r="C10" s="5"/>
      <c r="D10" s="5"/>
      <c r="F10" s="2">
        <v>2</v>
      </c>
      <c r="G10" s="5"/>
      <c r="H10" s="5"/>
      <c r="I10" s="5"/>
      <c r="J10" s="5"/>
    </row>
    <row r="11" spans="1:10" x14ac:dyDescent="0.25">
      <c r="A11" s="2">
        <v>3</v>
      </c>
      <c r="B11" s="5"/>
      <c r="C11" s="5"/>
      <c r="D11" s="5"/>
      <c r="F11" s="2">
        <v>3</v>
      </c>
      <c r="G11" s="5"/>
      <c r="H11" s="5"/>
      <c r="I11" s="5"/>
      <c r="J11" s="5"/>
    </row>
    <row r="12" spans="1:10" x14ac:dyDescent="0.25">
      <c r="A12" s="2">
        <v>4</v>
      </c>
      <c r="B12" s="5"/>
      <c r="C12" s="5"/>
      <c r="D12" s="5"/>
      <c r="F12" s="2">
        <v>4</v>
      </c>
      <c r="G12" s="5"/>
      <c r="H12" s="5"/>
      <c r="I12" s="5"/>
      <c r="J12" s="5"/>
    </row>
    <row r="14" spans="1:10" x14ac:dyDescent="0.25">
      <c r="A14" s="2" t="s">
        <v>52</v>
      </c>
      <c r="B14" s="10" t="s">
        <v>80</v>
      </c>
      <c r="C14" s="8"/>
    </row>
    <row r="15" spans="1:10" x14ac:dyDescent="0.25">
      <c r="A15" s="5" t="s">
        <v>54</v>
      </c>
      <c r="B15" s="2" t="s">
        <v>69</v>
      </c>
      <c r="C15" s="8"/>
    </row>
    <row r="16" spans="1:10" x14ac:dyDescent="0.25">
      <c r="A16" s="5"/>
      <c r="B16" s="2" t="s">
        <v>81</v>
      </c>
      <c r="C16" s="8"/>
    </row>
    <row r="17" spans="1:4" x14ac:dyDescent="0.25">
      <c r="A17" s="5" t="s">
        <v>57</v>
      </c>
      <c r="B17" s="2" t="s">
        <v>71</v>
      </c>
      <c r="C17" s="8"/>
    </row>
    <row r="18" spans="1:4" x14ac:dyDescent="0.25">
      <c r="A18" s="5"/>
      <c r="B18" s="2" t="s">
        <v>82</v>
      </c>
      <c r="C18" s="8"/>
    </row>
    <row r="19" spans="1:4" x14ac:dyDescent="0.25">
      <c r="A19" s="8"/>
      <c r="B19" s="8"/>
      <c r="C19" s="8"/>
    </row>
    <row r="20" spans="1:4" x14ac:dyDescent="0.25">
      <c r="A20" s="8"/>
      <c r="B20" s="8"/>
      <c r="C20" s="8"/>
    </row>
    <row r="22" spans="1:4" x14ac:dyDescent="0.25">
      <c r="A22" t="s">
        <v>15</v>
      </c>
      <c r="B22" t="s">
        <v>16</v>
      </c>
      <c r="C22" t="s">
        <v>17</v>
      </c>
      <c r="D22" t="s">
        <v>18</v>
      </c>
    </row>
    <row r="23" spans="1:4" x14ac:dyDescent="0.25">
      <c r="A23" s="7" t="s">
        <v>19</v>
      </c>
      <c r="B23" s="7" t="s">
        <v>73</v>
      </c>
      <c r="C23" s="7"/>
      <c r="D23" s="7" t="s">
        <v>24</v>
      </c>
    </row>
    <row r="24" spans="1:4" x14ac:dyDescent="0.25">
      <c r="A24" s="7" t="s">
        <v>20</v>
      </c>
      <c r="B24" s="7" t="s">
        <v>74</v>
      </c>
      <c r="C24" s="7"/>
      <c r="D24" s="7" t="s">
        <v>24</v>
      </c>
    </row>
    <row r="25" spans="1:4" x14ac:dyDescent="0.25">
      <c r="A25" s="7" t="s">
        <v>26</v>
      </c>
      <c r="B25" s="7"/>
      <c r="C25" s="7" t="s">
        <v>75</v>
      </c>
      <c r="D25" s="7" t="s">
        <v>25</v>
      </c>
    </row>
    <row r="26" spans="1:4" x14ac:dyDescent="0.25">
      <c r="A26" s="7" t="s">
        <v>27</v>
      </c>
      <c r="B26" s="7"/>
      <c r="C26" s="7" t="s">
        <v>76</v>
      </c>
      <c r="D26" s="7" t="s">
        <v>25</v>
      </c>
    </row>
    <row r="27" spans="1:4" x14ac:dyDescent="0.25">
      <c r="A27" s="7" t="s">
        <v>28</v>
      </c>
      <c r="B27" s="7" t="s">
        <v>77</v>
      </c>
      <c r="C27" s="7" t="s">
        <v>78</v>
      </c>
      <c r="D27" s="7" t="s">
        <v>24</v>
      </c>
    </row>
    <row r="28" spans="1:4" x14ac:dyDescent="0.25">
      <c r="A28" s="7" t="s">
        <v>29</v>
      </c>
      <c r="B28" s="7" t="s">
        <v>30</v>
      </c>
      <c r="C28" s="7" t="s">
        <v>30</v>
      </c>
      <c r="D28" s="7" t="s">
        <v>31</v>
      </c>
    </row>
  </sheetData>
  <mergeCells count="14">
    <mergeCell ref="A15:A16"/>
    <mergeCell ref="A17:A18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8155-621C-4D96-A126-7D1122CA004A}">
  <dimension ref="A1:J26"/>
  <sheetViews>
    <sheetView workbookViewId="0">
      <selection activeCell="A14" sqref="A14:B18"/>
    </sheetView>
  </sheetViews>
  <sheetFormatPr defaultRowHeight="13.8" x14ac:dyDescent="0.25"/>
  <cols>
    <col min="1" max="1" width="20.59765625" bestFit="1" customWidth="1"/>
    <col min="2" max="2" width="37.09765625" bestFit="1" customWidth="1"/>
    <col min="3" max="3" width="18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32</v>
      </c>
      <c r="C1" s="1" t="s">
        <v>4</v>
      </c>
      <c r="D1" s="5" t="s">
        <v>89</v>
      </c>
      <c r="E1" s="5"/>
      <c r="F1" s="5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5"/>
      <c r="C4" s="5"/>
      <c r="D4" s="5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6" t="s">
        <v>13</v>
      </c>
      <c r="C8" s="6"/>
      <c r="D8" s="6"/>
      <c r="F8" s="1" t="s">
        <v>12</v>
      </c>
      <c r="G8" s="6" t="s">
        <v>14</v>
      </c>
      <c r="H8" s="6"/>
      <c r="I8" s="6"/>
      <c r="J8" s="6"/>
    </row>
    <row r="9" spans="1:10" x14ac:dyDescent="0.25">
      <c r="A9" s="2">
        <v>1</v>
      </c>
      <c r="B9" s="5" t="s">
        <v>21</v>
      </c>
      <c r="C9" s="5"/>
      <c r="D9" s="5"/>
      <c r="F9" s="2">
        <v>1</v>
      </c>
      <c r="G9" s="5"/>
      <c r="H9" s="5"/>
      <c r="I9" s="5"/>
      <c r="J9" s="5"/>
    </row>
    <row r="10" spans="1:10" x14ac:dyDescent="0.25">
      <c r="A10" s="2">
        <v>2</v>
      </c>
      <c r="B10" s="5"/>
      <c r="C10" s="5"/>
      <c r="D10" s="5"/>
      <c r="F10" s="2">
        <v>2</v>
      </c>
      <c r="G10" s="5"/>
      <c r="H10" s="5"/>
      <c r="I10" s="5"/>
      <c r="J10" s="5"/>
    </row>
    <row r="11" spans="1:10" x14ac:dyDescent="0.25">
      <c r="A11" s="2">
        <v>3</v>
      </c>
      <c r="B11" s="5"/>
      <c r="C11" s="5"/>
      <c r="D11" s="5"/>
      <c r="F11" s="2">
        <v>3</v>
      </c>
      <c r="G11" s="5"/>
      <c r="H11" s="5"/>
      <c r="I11" s="5"/>
      <c r="J11" s="5"/>
    </row>
    <row r="12" spans="1:10" x14ac:dyDescent="0.25">
      <c r="A12" s="2">
        <v>4</v>
      </c>
      <c r="B12" s="5"/>
      <c r="C12" s="5"/>
      <c r="D12" s="5"/>
      <c r="F12" s="2">
        <v>4</v>
      </c>
      <c r="G12" s="5"/>
      <c r="H12" s="5"/>
      <c r="I12" s="5"/>
      <c r="J12" s="5"/>
    </row>
    <row r="13" spans="1:10" x14ac:dyDescent="0.25">
      <c r="A13" s="8"/>
      <c r="B13" s="9"/>
      <c r="C13" s="9"/>
      <c r="D13" s="9"/>
      <c r="F13" s="8"/>
      <c r="G13" s="9"/>
      <c r="H13" s="9"/>
      <c r="I13" s="9"/>
      <c r="J13" s="9"/>
    </row>
    <row r="14" spans="1:10" x14ac:dyDescent="0.25">
      <c r="A14" s="2" t="s">
        <v>52</v>
      </c>
      <c r="B14" s="10" t="s">
        <v>88</v>
      </c>
      <c r="C14" s="9"/>
      <c r="D14" s="9"/>
      <c r="F14" s="8"/>
      <c r="G14" s="9"/>
      <c r="H14" s="9"/>
      <c r="I14" s="9"/>
      <c r="J14" s="9"/>
    </row>
    <row r="15" spans="1:10" x14ac:dyDescent="0.25">
      <c r="A15" s="5" t="s">
        <v>54</v>
      </c>
      <c r="B15" s="2" t="s">
        <v>69</v>
      </c>
      <c r="C15" s="9"/>
      <c r="D15" s="9"/>
      <c r="F15" s="8"/>
      <c r="G15" s="9"/>
      <c r="H15" s="9"/>
      <c r="I15" s="9"/>
      <c r="J15" s="9"/>
    </row>
    <row r="16" spans="1:10" x14ac:dyDescent="0.25">
      <c r="A16" s="5"/>
      <c r="B16" s="2" t="s">
        <v>90</v>
      </c>
    </row>
    <row r="17" spans="1:4" x14ac:dyDescent="0.25">
      <c r="A17" s="5" t="s">
        <v>57</v>
      </c>
      <c r="B17" s="2" t="s">
        <v>71</v>
      </c>
    </row>
    <row r="18" spans="1:4" x14ac:dyDescent="0.25">
      <c r="A18" s="5"/>
      <c r="B18" s="2" t="s">
        <v>91</v>
      </c>
    </row>
    <row r="21" spans="1:4" x14ac:dyDescent="0.25">
      <c r="A21" t="s">
        <v>15</v>
      </c>
      <c r="B21" t="s">
        <v>16</v>
      </c>
      <c r="C21" t="s">
        <v>17</v>
      </c>
      <c r="D21" t="s">
        <v>18</v>
      </c>
    </row>
    <row r="22" spans="1:4" x14ac:dyDescent="0.25">
      <c r="A22" s="7" t="s">
        <v>19</v>
      </c>
      <c r="B22" s="7" t="s">
        <v>60</v>
      </c>
      <c r="C22" s="7" t="s">
        <v>45</v>
      </c>
      <c r="D22" s="7" t="s">
        <v>24</v>
      </c>
    </row>
    <row r="23" spans="1:4" x14ac:dyDescent="0.25">
      <c r="A23" s="7" t="s">
        <v>20</v>
      </c>
      <c r="B23" s="7">
        <f>1</f>
        <v>1</v>
      </c>
      <c r="C23" s="7" t="s">
        <v>61</v>
      </c>
      <c r="D23" s="7" t="s">
        <v>25</v>
      </c>
    </row>
    <row r="24" spans="1:4" x14ac:dyDescent="0.25">
      <c r="A24" s="7" t="s">
        <v>26</v>
      </c>
      <c r="B24" s="7" t="s">
        <v>83</v>
      </c>
      <c r="C24" s="7" t="s">
        <v>84</v>
      </c>
      <c r="D24" s="7" t="s">
        <v>25</v>
      </c>
    </row>
    <row r="25" spans="1:4" x14ac:dyDescent="0.25">
      <c r="A25" s="7" t="s">
        <v>27</v>
      </c>
      <c r="B25" s="7">
        <f>12</f>
        <v>12</v>
      </c>
      <c r="C25" s="7" t="s">
        <v>85</v>
      </c>
      <c r="D25" s="7" t="s">
        <v>25</v>
      </c>
    </row>
    <row r="26" spans="1:4" x14ac:dyDescent="0.25">
      <c r="A26" s="7" t="s">
        <v>28</v>
      </c>
      <c r="B26" s="7" t="s">
        <v>86</v>
      </c>
      <c r="C26" s="7" t="s">
        <v>87</v>
      </c>
      <c r="D26" s="7" t="s">
        <v>24</v>
      </c>
    </row>
  </sheetData>
  <mergeCells count="14">
    <mergeCell ref="A15:A16"/>
    <mergeCell ref="A17:A18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B1BE-F112-405C-8350-FAB912909952}">
  <dimension ref="A1:J29"/>
  <sheetViews>
    <sheetView topLeftCell="A4" workbookViewId="0">
      <selection activeCell="B16" sqref="B16"/>
    </sheetView>
  </sheetViews>
  <sheetFormatPr defaultRowHeight="13.8" x14ac:dyDescent="0.25"/>
  <cols>
    <col min="1" max="1" width="20.59765625" bestFit="1" customWidth="1"/>
    <col min="2" max="2" width="37.09765625" bestFit="1" customWidth="1"/>
    <col min="3" max="3" width="18.8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35</v>
      </c>
      <c r="C1" s="1" t="s">
        <v>4</v>
      </c>
      <c r="D1" s="5" t="s">
        <v>92</v>
      </c>
      <c r="E1" s="5"/>
      <c r="F1" s="5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5"/>
      <c r="C4" s="5"/>
      <c r="D4" s="5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6" t="s">
        <v>13</v>
      </c>
      <c r="C8" s="6"/>
      <c r="D8" s="6"/>
      <c r="F8" s="1" t="s">
        <v>12</v>
      </c>
      <c r="G8" s="6" t="s">
        <v>14</v>
      </c>
      <c r="H8" s="6"/>
      <c r="I8" s="6"/>
      <c r="J8" s="6"/>
    </row>
    <row r="9" spans="1:10" x14ac:dyDescent="0.25">
      <c r="A9" s="2">
        <v>1</v>
      </c>
      <c r="B9" s="5" t="s">
        <v>21</v>
      </c>
      <c r="C9" s="5"/>
      <c r="D9" s="5"/>
      <c r="F9" s="2">
        <v>1</v>
      </c>
      <c r="G9" s="5"/>
      <c r="H9" s="5"/>
      <c r="I9" s="5"/>
      <c r="J9" s="5"/>
    </row>
    <row r="10" spans="1:10" x14ac:dyDescent="0.25">
      <c r="A10" s="2">
        <v>2</v>
      </c>
      <c r="B10" s="5"/>
      <c r="C10" s="5"/>
      <c r="D10" s="5"/>
      <c r="F10" s="2">
        <v>2</v>
      </c>
      <c r="G10" s="5"/>
      <c r="H10" s="5"/>
      <c r="I10" s="5"/>
      <c r="J10" s="5"/>
    </row>
    <row r="11" spans="1:10" x14ac:dyDescent="0.25">
      <c r="A11" s="2">
        <v>3</v>
      </c>
      <c r="B11" s="5"/>
      <c r="C11" s="5"/>
      <c r="D11" s="5"/>
      <c r="F11" s="2">
        <v>3</v>
      </c>
      <c r="G11" s="5"/>
      <c r="H11" s="5"/>
      <c r="I11" s="5"/>
      <c r="J11" s="5"/>
    </row>
    <row r="12" spans="1:10" x14ac:dyDescent="0.25">
      <c r="A12" s="2">
        <v>4</v>
      </c>
      <c r="B12" s="5"/>
      <c r="C12" s="5"/>
      <c r="D12" s="5"/>
      <c r="F12" s="2">
        <v>4</v>
      </c>
      <c r="G12" s="5"/>
      <c r="H12" s="5"/>
      <c r="I12" s="5"/>
      <c r="J12" s="5"/>
    </row>
    <row r="14" spans="1:10" x14ac:dyDescent="0.25">
      <c r="A14" s="11" t="s">
        <v>52</v>
      </c>
      <c r="B14" s="10" t="s">
        <v>93</v>
      </c>
      <c r="C14" s="8"/>
    </row>
    <row r="15" spans="1:10" x14ac:dyDescent="0.25">
      <c r="A15" s="13"/>
      <c r="B15" s="10" t="s">
        <v>94</v>
      </c>
      <c r="C15" s="8"/>
    </row>
    <row r="16" spans="1:10" x14ac:dyDescent="0.25">
      <c r="A16" s="12"/>
      <c r="B16" s="10" t="s">
        <v>95</v>
      </c>
      <c r="C16" s="8"/>
    </row>
    <row r="17" spans="1:4" x14ac:dyDescent="0.25">
      <c r="A17" s="11" t="s">
        <v>54</v>
      </c>
      <c r="B17" s="2" t="s">
        <v>96</v>
      </c>
      <c r="C17" s="8"/>
    </row>
    <row r="18" spans="1:4" x14ac:dyDescent="0.25">
      <c r="A18" s="13"/>
      <c r="B18" s="2" t="s">
        <v>97</v>
      </c>
      <c r="C18" s="8"/>
    </row>
    <row r="19" spans="1:4" x14ac:dyDescent="0.25">
      <c r="A19" s="12"/>
      <c r="B19" s="2" t="s">
        <v>98</v>
      </c>
      <c r="C19" s="8"/>
    </row>
    <row r="20" spans="1:4" x14ac:dyDescent="0.25">
      <c r="A20" s="5" t="s">
        <v>57</v>
      </c>
      <c r="B20" s="2" t="s">
        <v>99</v>
      </c>
      <c r="C20" s="8"/>
    </row>
    <row r="21" spans="1:4" x14ac:dyDescent="0.25">
      <c r="A21" s="5"/>
      <c r="B21" s="2" t="s">
        <v>100</v>
      </c>
      <c r="C21" s="8"/>
    </row>
    <row r="22" spans="1:4" x14ac:dyDescent="0.25">
      <c r="A22" s="5"/>
      <c r="B22" s="2" t="s">
        <v>101</v>
      </c>
      <c r="C22" s="8"/>
    </row>
    <row r="24" spans="1:4" x14ac:dyDescent="0.25">
      <c r="A24" t="s">
        <v>15</v>
      </c>
      <c r="B24" t="s">
        <v>16</v>
      </c>
      <c r="C24" t="s">
        <v>17</v>
      </c>
      <c r="D24" t="s">
        <v>18</v>
      </c>
    </row>
    <row r="25" spans="1:4" x14ac:dyDescent="0.25">
      <c r="A25" t="s">
        <v>19</v>
      </c>
      <c r="B25" t="s">
        <v>102</v>
      </c>
      <c r="C25" t="s">
        <v>23</v>
      </c>
      <c r="D25" t="s">
        <v>24</v>
      </c>
    </row>
    <row r="26" spans="1:4" x14ac:dyDescent="0.25">
      <c r="A26" t="s">
        <v>20</v>
      </c>
      <c r="B26" t="s">
        <v>103</v>
      </c>
      <c r="C26" t="s">
        <v>104</v>
      </c>
      <c r="D26" t="s">
        <v>24</v>
      </c>
    </row>
    <row r="27" spans="1:4" x14ac:dyDescent="0.25">
      <c r="A27" t="s">
        <v>26</v>
      </c>
      <c r="B27" t="s">
        <v>105</v>
      </c>
      <c r="C27" t="s">
        <v>106</v>
      </c>
      <c r="D27" t="s">
        <v>107</v>
      </c>
    </row>
    <row r="28" spans="1:4" x14ac:dyDescent="0.25">
      <c r="A28" t="s">
        <v>27</v>
      </c>
      <c r="B28" t="s">
        <v>108</v>
      </c>
      <c r="C28" t="s">
        <v>109</v>
      </c>
      <c r="D28" t="s">
        <v>110</v>
      </c>
    </row>
    <row r="29" spans="1:4" x14ac:dyDescent="0.25">
      <c r="A29" t="s">
        <v>28</v>
      </c>
      <c r="B29" t="s">
        <v>111</v>
      </c>
      <c r="C29" t="s">
        <v>112</v>
      </c>
      <c r="D29" t="s">
        <v>113</v>
      </c>
    </row>
  </sheetData>
  <mergeCells count="15">
    <mergeCell ref="A20:A22"/>
    <mergeCell ref="A14:A16"/>
    <mergeCell ref="A17:A19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19C1-12A1-4575-9364-003021186386}">
  <dimension ref="A1:J45"/>
  <sheetViews>
    <sheetView workbookViewId="0">
      <selection activeCell="F28" sqref="F28"/>
    </sheetView>
  </sheetViews>
  <sheetFormatPr defaultRowHeight="13.8" x14ac:dyDescent="0.25"/>
  <cols>
    <col min="1" max="1" width="20.59765625" bestFit="1" customWidth="1"/>
    <col min="2" max="2" width="37.09765625" bestFit="1" customWidth="1"/>
    <col min="3" max="3" width="31.3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40</v>
      </c>
      <c r="C1" s="1" t="s">
        <v>4</v>
      </c>
      <c r="D1" s="5" t="s">
        <v>114</v>
      </c>
      <c r="E1" s="5"/>
      <c r="F1" s="5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5"/>
      <c r="C4" s="5"/>
      <c r="D4" s="5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6" t="s">
        <v>13</v>
      </c>
      <c r="C8" s="6"/>
      <c r="D8" s="6"/>
      <c r="F8" s="1" t="s">
        <v>12</v>
      </c>
      <c r="G8" s="6" t="s">
        <v>14</v>
      </c>
      <c r="H8" s="6"/>
      <c r="I8" s="6"/>
      <c r="J8" s="6"/>
    </row>
    <row r="9" spans="1:10" x14ac:dyDescent="0.25">
      <c r="A9" s="2">
        <v>1</v>
      </c>
      <c r="B9" s="5" t="s">
        <v>21</v>
      </c>
      <c r="C9" s="5"/>
      <c r="D9" s="5"/>
      <c r="F9" s="2">
        <v>1</v>
      </c>
      <c r="G9" s="5"/>
      <c r="H9" s="5"/>
      <c r="I9" s="5"/>
      <c r="J9" s="5"/>
    </row>
    <row r="10" spans="1:10" x14ac:dyDescent="0.25">
      <c r="A10" s="2">
        <v>2</v>
      </c>
      <c r="B10" s="5"/>
      <c r="C10" s="5"/>
      <c r="D10" s="5"/>
      <c r="F10" s="2">
        <v>2</v>
      </c>
      <c r="G10" s="5"/>
      <c r="H10" s="5"/>
      <c r="I10" s="5"/>
      <c r="J10" s="5"/>
    </row>
    <row r="11" spans="1:10" x14ac:dyDescent="0.25">
      <c r="A11" s="2">
        <v>3</v>
      </c>
      <c r="B11" s="5"/>
      <c r="C11" s="5"/>
      <c r="D11" s="5"/>
      <c r="F11" s="2">
        <v>3</v>
      </c>
      <c r="G11" s="5"/>
      <c r="H11" s="5"/>
      <c r="I11" s="5"/>
      <c r="J11" s="5"/>
    </row>
    <row r="12" spans="1:10" x14ac:dyDescent="0.25">
      <c r="A12" s="2">
        <v>4</v>
      </c>
      <c r="B12" s="5"/>
      <c r="C12" s="5"/>
      <c r="D12" s="5"/>
      <c r="F12" s="2">
        <v>4</v>
      </c>
      <c r="G12" s="5"/>
      <c r="H12" s="5"/>
      <c r="I12" s="5"/>
      <c r="J12" s="5"/>
    </row>
    <row r="14" spans="1:10" x14ac:dyDescent="0.25">
      <c r="A14" s="11" t="s">
        <v>52</v>
      </c>
      <c r="B14" s="10" t="s">
        <v>115</v>
      </c>
    </row>
    <row r="15" spans="1:10" x14ac:dyDescent="0.25">
      <c r="A15" s="13"/>
      <c r="B15" s="10" t="s">
        <v>116</v>
      </c>
      <c r="C15" s="8"/>
    </row>
    <row r="16" spans="1:10" x14ac:dyDescent="0.25">
      <c r="A16" s="13"/>
      <c r="B16" s="10" t="s">
        <v>117</v>
      </c>
      <c r="C16" s="8"/>
    </row>
    <row r="17" spans="1:4" x14ac:dyDescent="0.25">
      <c r="A17" s="12"/>
      <c r="B17" s="10" t="s">
        <v>118</v>
      </c>
      <c r="C17" s="8"/>
    </row>
    <row r="18" spans="1:4" x14ac:dyDescent="0.25">
      <c r="A18" s="14" t="s">
        <v>54</v>
      </c>
      <c r="B18" s="2" t="s">
        <v>119</v>
      </c>
      <c r="C18" s="8"/>
    </row>
    <row r="19" spans="1:4" x14ac:dyDescent="0.25">
      <c r="A19" s="5" t="s">
        <v>57</v>
      </c>
      <c r="B19" s="2" t="s">
        <v>120</v>
      </c>
      <c r="C19" s="8"/>
    </row>
    <row r="20" spans="1:4" x14ac:dyDescent="0.25">
      <c r="A20" s="5"/>
      <c r="B20" s="2" t="s">
        <v>121</v>
      </c>
      <c r="C20" s="8"/>
    </row>
    <row r="21" spans="1:4" x14ac:dyDescent="0.25">
      <c r="A21" s="5"/>
      <c r="B21" s="2" t="s">
        <v>122</v>
      </c>
      <c r="C21" s="8"/>
    </row>
    <row r="22" spans="1:4" x14ac:dyDescent="0.25">
      <c r="A22" s="5"/>
      <c r="B22" s="18">
        <v>120121</v>
      </c>
      <c r="C22" s="8"/>
    </row>
    <row r="23" spans="1:4" x14ac:dyDescent="0.25">
      <c r="A23" s="8"/>
      <c r="B23" s="8"/>
      <c r="C23" s="15"/>
    </row>
    <row r="25" spans="1:4" x14ac:dyDescent="0.25">
      <c r="A25" t="s">
        <v>15</v>
      </c>
      <c r="B25" t="s">
        <v>16</v>
      </c>
      <c r="C25" t="s">
        <v>17</v>
      </c>
      <c r="D25" t="s">
        <v>18</v>
      </c>
    </row>
    <row r="26" spans="1:4" x14ac:dyDescent="0.25">
      <c r="A26" t="s">
        <v>19</v>
      </c>
      <c r="B26" t="s">
        <v>123</v>
      </c>
      <c r="C26" t="s">
        <v>124</v>
      </c>
      <c r="D26" t="s">
        <v>34</v>
      </c>
    </row>
    <row r="27" spans="1:4" x14ac:dyDescent="0.25">
      <c r="A27" t="s">
        <v>20</v>
      </c>
      <c r="B27" t="s">
        <v>125</v>
      </c>
      <c r="C27" t="s">
        <v>126</v>
      </c>
      <c r="D27" t="s">
        <v>127</v>
      </c>
    </row>
    <row r="28" spans="1:4" x14ac:dyDescent="0.25">
      <c r="A28" t="s">
        <v>26</v>
      </c>
      <c r="B28" t="s">
        <v>128</v>
      </c>
      <c r="C28" t="s">
        <v>129</v>
      </c>
      <c r="D28" t="s">
        <v>130</v>
      </c>
    </row>
    <row r="29" spans="1:4" x14ac:dyDescent="0.25">
      <c r="A29" t="s">
        <v>27</v>
      </c>
      <c r="B29" t="s">
        <v>131</v>
      </c>
      <c r="C29" t="s">
        <v>132</v>
      </c>
      <c r="D29" t="s">
        <v>127</v>
      </c>
    </row>
    <row r="30" spans="1:4" x14ac:dyDescent="0.25">
      <c r="A30" t="s">
        <v>28</v>
      </c>
      <c r="B30" t="s">
        <v>133</v>
      </c>
      <c r="C30" t="s">
        <v>134</v>
      </c>
      <c r="D30" t="s">
        <v>24</v>
      </c>
    </row>
    <row r="37" spans="4:5" x14ac:dyDescent="0.25">
      <c r="D37" s="17"/>
      <c r="E37" s="16"/>
    </row>
    <row r="38" spans="4:5" x14ac:dyDescent="0.25">
      <c r="D38" s="17"/>
      <c r="E38" s="16"/>
    </row>
    <row r="39" spans="4:5" x14ac:dyDescent="0.25">
      <c r="D39" s="17"/>
      <c r="E39" s="16"/>
    </row>
    <row r="40" spans="4:5" x14ac:dyDescent="0.25">
      <c r="D40" s="17"/>
      <c r="E40" s="8"/>
    </row>
    <row r="41" spans="4:5" x14ac:dyDescent="0.25">
      <c r="D41" s="17"/>
      <c r="E41" s="8"/>
    </row>
    <row r="42" spans="4:5" x14ac:dyDescent="0.25">
      <c r="D42" s="17"/>
      <c r="E42" s="8"/>
    </row>
    <row r="43" spans="4:5" x14ac:dyDescent="0.25">
      <c r="D43" s="17"/>
      <c r="E43" s="8"/>
    </row>
    <row r="44" spans="4:5" x14ac:dyDescent="0.25">
      <c r="D44" s="17"/>
      <c r="E44" s="8"/>
    </row>
    <row r="45" spans="4:5" x14ac:dyDescent="0.25">
      <c r="D45" s="17"/>
      <c r="E45" s="8"/>
    </row>
  </sheetData>
  <mergeCells count="14">
    <mergeCell ref="A14:A17"/>
    <mergeCell ref="A19:A22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4B4A-3AEC-42C7-9D83-49274C020121}">
  <dimension ref="A1:J24"/>
  <sheetViews>
    <sheetView workbookViewId="0">
      <selection activeCell="A14" sqref="A14"/>
    </sheetView>
  </sheetViews>
  <sheetFormatPr defaultRowHeight="13.8" x14ac:dyDescent="0.25"/>
  <cols>
    <col min="1" max="1" width="20.59765625" bestFit="1" customWidth="1"/>
    <col min="2" max="2" width="37.09765625" bestFit="1" customWidth="1"/>
    <col min="3" max="3" width="31.3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41</v>
      </c>
      <c r="C1" s="1" t="s">
        <v>4</v>
      </c>
      <c r="D1" s="5" t="s">
        <v>145</v>
      </c>
      <c r="E1" s="5"/>
      <c r="F1" s="5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5"/>
      <c r="C4" s="5"/>
      <c r="D4" s="5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6" t="s">
        <v>13</v>
      </c>
      <c r="C8" s="6"/>
      <c r="D8" s="6"/>
      <c r="F8" s="1" t="s">
        <v>12</v>
      </c>
      <c r="G8" s="6" t="s">
        <v>14</v>
      </c>
      <c r="H8" s="6"/>
      <c r="I8" s="6"/>
      <c r="J8" s="6"/>
    </row>
    <row r="9" spans="1:10" x14ac:dyDescent="0.25">
      <c r="A9" s="2">
        <v>1</v>
      </c>
      <c r="B9" s="5" t="s">
        <v>21</v>
      </c>
      <c r="C9" s="5"/>
      <c r="D9" s="5"/>
      <c r="F9" s="2">
        <v>1</v>
      </c>
      <c r="G9" s="5"/>
      <c r="H9" s="5"/>
      <c r="I9" s="5"/>
      <c r="J9" s="5"/>
    </row>
    <row r="10" spans="1:10" x14ac:dyDescent="0.25">
      <c r="A10" s="2">
        <v>2</v>
      </c>
      <c r="B10" s="5"/>
      <c r="C10" s="5"/>
      <c r="D10" s="5"/>
      <c r="F10" s="2">
        <v>2</v>
      </c>
      <c r="G10" s="5"/>
      <c r="H10" s="5"/>
      <c r="I10" s="5"/>
      <c r="J10" s="5"/>
    </row>
    <row r="11" spans="1:10" x14ac:dyDescent="0.25">
      <c r="A11" s="2">
        <v>3</v>
      </c>
      <c r="B11" s="5"/>
      <c r="C11" s="5"/>
      <c r="D11" s="5"/>
      <c r="F11" s="2">
        <v>3</v>
      </c>
      <c r="G11" s="5"/>
      <c r="H11" s="5"/>
      <c r="I11" s="5"/>
      <c r="J11" s="5"/>
    </row>
    <row r="12" spans="1:10" x14ac:dyDescent="0.25">
      <c r="A12" s="2">
        <v>4</v>
      </c>
      <c r="B12" s="5"/>
      <c r="C12" s="5"/>
      <c r="D12" s="5"/>
      <c r="F12" s="2">
        <v>4</v>
      </c>
      <c r="G12" s="5"/>
      <c r="H12" s="5"/>
      <c r="I12" s="5"/>
      <c r="J12" s="5"/>
    </row>
    <row r="14" spans="1:10" x14ac:dyDescent="0.25">
      <c r="A14" s="2" t="s">
        <v>52</v>
      </c>
      <c r="B14" s="10" t="s">
        <v>135</v>
      </c>
      <c r="C14" s="8"/>
    </row>
    <row r="15" spans="1:10" x14ac:dyDescent="0.25">
      <c r="A15" s="4" t="s">
        <v>54</v>
      </c>
      <c r="B15" s="2" t="s">
        <v>136</v>
      </c>
      <c r="C15" s="8"/>
    </row>
    <row r="16" spans="1:10" x14ac:dyDescent="0.25">
      <c r="A16" s="5" t="s">
        <v>57</v>
      </c>
      <c r="B16" s="2" t="s">
        <v>137</v>
      </c>
      <c r="C16" s="8"/>
    </row>
    <row r="17" spans="1:4" x14ac:dyDescent="0.25">
      <c r="A17" s="5"/>
      <c r="B17" s="2" t="s">
        <v>138</v>
      </c>
      <c r="C17" s="8"/>
    </row>
    <row r="18" spans="1:4" x14ac:dyDescent="0.25">
      <c r="A18" s="8"/>
      <c r="B18" s="8"/>
      <c r="C18" s="15"/>
    </row>
    <row r="20" spans="1:4" x14ac:dyDescent="0.25">
      <c r="A20" t="s">
        <v>15</v>
      </c>
      <c r="B20" t="s">
        <v>16</v>
      </c>
      <c r="C20" t="s">
        <v>17</v>
      </c>
      <c r="D20" t="s">
        <v>18</v>
      </c>
    </row>
    <row r="21" spans="1:4" x14ac:dyDescent="0.25">
      <c r="A21" t="s">
        <v>19</v>
      </c>
      <c r="B21" t="s">
        <v>36</v>
      </c>
      <c r="C21" t="s">
        <v>139</v>
      </c>
      <c r="D21" t="s">
        <v>24</v>
      </c>
    </row>
    <row r="22" spans="1:4" x14ac:dyDescent="0.25">
      <c r="A22" t="s">
        <v>20</v>
      </c>
      <c r="B22" t="s">
        <v>37</v>
      </c>
      <c r="C22" t="s">
        <v>140</v>
      </c>
      <c r="D22" t="s">
        <v>141</v>
      </c>
    </row>
    <row r="23" spans="1:4" x14ac:dyDescent="0.25">
      <c r="A23" t="s">
        <v>26</v>
      </c>
      <c r="B23" t="s">
        <v>38</v>
      </c>
      <c r="C23" t="s">
        <v>142</v>
      </c>
      <c r="D23" t="s">
        <v>143</v>
      </c>
    </row>
    <row r="24" spans="1:4" x14ac:dyDescent="0.25">
      <c r="A24" t="s">
        <v>27</v>
      </c>
      <c r="B24" t="s">
        <v>39</v>
      </c>
      <c r="C24" t="s">
        <v>144</v>
      </c>
      <c r="D24" t="s">
        <v>24</v>
      </c>
    </row>
  </sheetData>
  <mergeCells count="13">
    <mergeCell ref="A16:A17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5FF3-AE94-4638-B81E-C4252E7422E3}">
  <dimension ref="A1:J30"/>
  <sheetViews>
    <sheetView tabSelected="1" workbookViewId="0">
      <selection activeCell="C35" sqref="C35"/>
    </sheetView>
  </sheetViews>
  <sheetFormatPr defaultRowHeight="13.8" x14ac:dyDescent="0.25"/>
  <cols>
    <col min="1" max="1" width="14" bestFit="1" customWidth="1"/>
    <col min="2" max="2" width="37.09765625" bestFit="1" customWidth="1"/>
    <col min="3" max="3" width="31.3984375" bestFit="1" customWidth="1"/>
    <col min="4" max="4" width="32.3984375" bestFit="1" customWidth="1"/>
    <col min="5" max="5" width="30" bestFit="1" customWidth="1"/>
  </cols>
  <sheetData>
    <row r="1" spans="1:10" x14ac:dyDescent="0.25">
      <c r="A1" s="1" t="s">
        <v>0</v>
      </c>
      <c r="B1" s="2" t="s">
        <v>41</v>
      </c>
      <c r="C1" s="1" t="s">
        <v>4</v>
      </c>
      <c r="D1" s="5" t="s">
        <v>146</v>
      </c>
      <c r="E1" s="5"/>
      <c r="F1" s="5"/>
    </row>
    <row r="2" spans="1:10" x14ac:dyDescent="0.25">
      <c r="A2" s="1" t="s">
        <v>2</v>
      </c>
      <c r="B2" s="2" t="s">
        <v>3</v>
      </c>
      <c r="C2" s="1" t="s">
        <v>5</v>
      </c>
      <c r="D2" s="2"/>
      <c r="E2" s="1" t="s">
        <v>6</v>
      </c>
      <c r="F2" s="2">
        <v>1.1000000000000001</v>
      </c>
    </row>
    <row r="4" spans="1:10" x14ac:dyDescent="0.25">
      <c r="A4" s="1" t="s">
        <v>7</v>
      </c>
      <c r="B4" s="5"/>
      <c r="C4" s="5"/>
      <c r="D4" s="5"/>
    </row>
    <row r="6" spans="1:10" ht="27.6" customHeight="1" x14ac:dyDescent="0.25">
      <c r="A6" s="1" t="s">
        <v>8</v>
      </c>
      <c r="B6" s="2" t="s">
        <v>3</v>
      </c>
      <c r="C6" s="1" t="s">
        <v>9</v>
      </c>
      <c r="D6" s="3">
        <v>46028</v>
      </c>
      <c r="E6" s="1" t="s">
        <v>10</v>
      </c>
      <c r="F6" s="2" t="s">
        <v>11</v>
      </c>
    </row>
    <row r="8" spans="1:10" x14ac:dyDescent="0.25">
      <c r="A8" s="1" t="s">
        <v>12</v>
      </c>
      <c r="B8" s="6" t="s">
        <v>13</v>
      </c>
      <c r="C8" s="6"/>
      <c r="D8" s="6"/>
      <c r="F8" s="1" t="s">
        <v>12</v>
      </c>
      <c r="G8" s="6" t="s">
        <v>14</v>
      </c>
      <c r="H8" s="6"/>
      <c r="I8" s="6"/>
      <c r="J8" s="6"/>
    </row>
    <row r="9" spans="1:10" x14ac:dyDescent="0.25">
      <c r="A9" s="2">
        <v>1</v>
      </c>
      <c r="B9" s="5" t="s">
        <v>21</v>
      </c>
      <c r="C9" s="5"/>
      <c r="D9" s="5"/>
      <c r="F9" s="2">
        <v>1</v>
      </c>
      <c r="G9" s="5"/>
      <c r="H9" s="5"/>
      <c r="I9" s="5"/>
      <c r="J9" s="5"/>
    </row>
    <row r="10" spans="1:10" x14ac:dyDescent="0.25">
      <c r="A10" s="2">
        <v>2</v>
      </c>
      <c r="B10" s="5"/>
      <c r="C10" s="5"/>
      <c r="D10" s="5"/>
      <c r="F10" s="2">
        <v>2</v>
      </c>
      <c r="G10" s="5"/>
      <c r="H10" s="5"/>
      <c r="I10" s="5"/>
      <c r="J10" s="5"/>
    </row>
    <row r="11" spans="1:10" x14ac:dyDescent="0.25">
      <c r="A11" s="2">
        <v>3</v>
      </c>
      <c r="B11" s="5"/>
      <c r="C11" s="5"/>
      <c r="D11" s="5"/>
      <c r="F11" s="2">
        <v>3</v>
      </c>
      <c r="G11" s="5"/>
      <c r="H11" s="5"/>
      <c r="I11" s="5"/>
      <c r="J11" s="5"/>
    </row>
    <row r="12" spans="1:10" x14ac:dyDescent="0.25">
      <c r="A12" s="2">
        <v>4</v>
      </c>
      <c r="B12" s="5"/>
      <c r="C12" s="5"/>
      <c r="D12" s="5"/>
      <c r="F12" s="2">
        <v>4</v>
      </c>
      <c r="G12" s="5"/>
      <c r="H12" s="5"/>
      <c r="I12" s="5"/>
      <c r="J12" s="5"/>
    </row>
    <row r="14" spans="1:10" x14ac:dyDescent="0.25">
      <c r="A14" s="11" t="s">
        <v>52</v>
      </c>
      <c r="B14" s="10" t="s">
        <v>147</v>
      </c>
      <c r="C14" s="8"/>
    </row>
    <row r="15" spans="1:10" x14ac:dyDescent="0.25">
      <c r="A15" s="12"/>
      <c r="B15" s="10" t="s">
        <v>148</v>
      </c>
      <c r="C15" s="8"/>
    </row>
    <row r="16" spans="1:10" x14ac:dyDescent="0.25">
      <c r="A16" s="5" t="s">
        <v>54</v>
      </c>
      <c r="B16" s="2" t="s">
        <v>149</v>
      </c>
      <c r="C16" s="8"/>
    </row>
    <row r="17" spans="1:4" x14ac:dyDescent="0.25">
      <c r="A17" s="5"/>
      <c r="B17" s="2" t="s">
        <v>150</v>
      </c>
      <c r="C17" s="8"/>
    </row>
    <row r="18" spans="1:4" x14ac:dyDescent="0.25">
      <c r="A18" s="5" t="s">
        <v>57</v>
      </c>
      <c r="B18" s="2" t="s">
        <v>151</v>
      </c>
      <c r="C18" s="8"/>
    </row>
    <row r="19" spans="1:4" x14ac:dyDescent="0.25">
      <c r="A19" s="5"/>
      <c r="B19" s="2" t="s">
        <v>152</v>
      </c>
      <c r="C19" s="8"/>
    </row>
    <row r="20" spans="1:4" x14ac:dyDescent="0.25">
      <c r="A20" s="8"/>
      <c r="B20" s="8"/>
      <c r="C20" s="15"/>
    </row>
    <row r="22" spans="1:4" x14ac:dyDescent="0.25">
      <c r="A22" t="s">
        <v>15</v>
      </c>
      <c r="B22" t="s">
        <v>16</v>
      </c>
      <c r="C22" t="s">
        <v>17</v>
      </c>
      <c r="D22" t="s">
        <v>18</v>
      </c>
    </row>
    <row r="23" spans="1:4" x14ac:dyDescent="0.25">
      <c r="A23" t="s">
        <v>19</v>
      </c>
      <c r="B23" t="s">
        <v>73</v>
      </c>
      <c r="D23" t="s">
        <v>153</v>
      </c>
    </row>
    <row r="24" spans="1:4" x14ac:dyDescent="0.25">
      <c r="A24" t="s">
        <v>20</v>
      </c>
      <c r="B24" t="s">
        <v>154</v>
      </c>
      <c r="C24" t="s">
        <v>155</v>
      </c>
      <c r="D24" t="s">
        <v>156</v>
      </c>
    </row>
    <row r="25" spans="1:4" x14ac:dyDescent="0.25">
      <c r="A25" t="s">
        <v>26</v>
      </c>
      <c r="B25" t="s">
        <v>157</v>
      </c>
      <c r="C25" t="s">
        <v>158</v>
      </c>
      <c r="D25" t="s">
        <v>156</v>
      </c>
    </row>
    <row r="26" spans="1:4" x14ac:dyDescent="0.25">
      <c r="A26" t="s">
        <v>27</v>
      </c>
      <c r="B26" t="s">
        <v>74</v>
      </c>
      <c r="D26" t="s">
        <v>159</v>
      </c>
    </row>
    <row r="27" spans="1:4" x14ac:dyDescent="0.25">
      <c r="A27" t="s">
        <v>28</v>
      </c>
      <c r="B27" t="s">
        <v>103</v>
      </c>
      <c r="C27" t="s">
        <v>44</v>
      </c>
      <c r="D27" t="s">
        <v>156</v>
      </c>
    </row>
    <row r="28" spans="1:4" x14ac:dyDescent="0.25">
      <c r="A28" t="s">
        <v>29</v>
      </c>
      <c r="B28" t="s">
        <v>160</v>
      </c>
      <c r="C28" t="s">
        <v>161</v>
      </c>
      <c r="D28" t="s">
        <v>156</v>
      </c>
    </row>
    <row r="29" spans="1:4" x14ac:dyDescent="0.25">
      <c r="A29" t="s">
        <v>162</v>
      </c>
      <c r="B29" t="s">
        <v>163</v>
      </c>
      <c r="C29" t="s">
        <v>164</v>
      </c>
      <c r="D29" t="s">
        <v>107</v>
      </c>
    </row>
    <row r="30" spans="1:4" x14ac:dyDescent="0.25">
      <c r="A30" t="s">
        <v>165</v>
      </c>
      <c r="B30" t="s">
        <v>166</v>
      </c>
      <c r="C30" t="s">
        <v>167</v>
      </c>
      <c r="D30" t="s">
        <v>168</v>
      </c>
    </row>
  </sheetData>
  <mergeCells count="15">
    <mergeCell ref="A16:A17"/>
    <mergeCell ref="A18:A19"/>
    <mergeCell ref="A14:A15"/>
    <mergeCell ref="B10:D10"/>
    <mergeCell ref="G10:J10"/>
    <mergeCell ref="B11:D11"/>
    <mergeCell ref="G11:J11"/>
    <mergeCell ref="B12:D12"/>
    <mergeCell ref="G12:J12"/>
    <mergeCell ref="D1:F1"/>
    <mergeCell ref="B4:D4"/>
    <mergeCell ref="B8:D8"/>
    <mergeCell ref="G8:J8"/>
    <mergeCell ref="B9:D9"/>
    <mergeCell ref="G9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BT 1</vt:lpstr>
      <vt:lpstr>BT 2</vt:lpstr>
      <vt:lpstr>BT 3</vt:lpstr>
      <vt:lpstr>BT 4</vt:lpstr>
      <vt:lpstr>BT 5</vt:lpstr>
      <vt:lpstr>BT 6</vt:lpstr>
      <vt:lpstr>BT 7</vt:lpstr>
      <vt:lpstr>BT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Nguyễn Lê Anh</dc:creator>
  <cp:lastModifiedBy>Trúc Nguyễn Lê Anh</cp:lastModifiedBy>
  <dcterms:created xsi:type="dcterms:W3CDTF">2026-01-06T06:39:22Z</dcterms:created>
  <dcterms:modified xsi:type="dcterms:W3CDTF">2026-01-06T08:28:19Z</dcterms:modified>
</cp:coreProperties>
</file>